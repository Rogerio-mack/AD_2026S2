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ano_2026S2\AD\"/>
    </mc:Choice>
  </mc:AlternateContent>
  <xr:revisionPtr revIDLastSave="0" documentId="13_ncr:1_{FE22CEFB-D061-44DA-AE9E-ABEF7F0155F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Notas" sheetId="1" r:id="rId1"/>
    <sheet name="Sheet2" sheetId="3" r:id="rId2"/>
    <sheet name="Sheet1" sheetId="2" r:id="rId3"/>
  </sheets>
  <definedNames>
    <definedName name="_xlnm._FilterDatabase" localSheetId="0" hidden="1">Notas!$A$1:$M$25</definedName>
    <definedName name="_xlnm._FilterDatabase" localSheetId="2" hidden="1">Sheet1!$A$1:$B$123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30" i="1"/>
  <c r="L2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2" i="1"/>
  <c r="K29" i="1"/>
  <c r="K30" i="1"/>
  <c r="K2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Q3" i="3"/>
  <c r="Q4" i="3"/>
  <c r="Q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</calcChain>
</file>

<file path=xl/sharedStrings.xml><?xml version="1.0" encoding="utf-8"?>
<sst xmlns="http://schemas.openxmlformats.org/spreadsheetml/2006/main" count="174" uniqueCount="122">
  <si>
    <t>Nome</t>
  </si>
  <si>
    <t>Sobrenome</t>
  </si>
  <si>
    <t>Endereço de e-mail</t>
  </si>
  <si>
    <t>CARLOS</t>
  </si>
  <si>
    <t>ANGULO</t>
  </si>
  <si>
    <t>10772806@mackenzista.com.br</t>
  </si>
  <si>
    <t>MILENA</t>
  </si>
  <si>
    <t>BARIOTO</t>
  </si>
  <si>
    <t>10774223@mackenzista.com.br</t>
  </si>
  <si>
    <t>MARCO</t>
  </si>
  <si>
    <t>CAPELLANO</t>
  </si>
  <si>
    <t>10770095@mackenzista.com.br</t>
  </si>
  <si>
    <t>MATHEUS</t>
  </si>
  <si>
    <t>CARVALHO</t>
  </si>
  <si>
    <t>10776358@mackenzista.com.br</t>
  </si>
  <si>
    <t>LORENZO</t>
  </si>
  <si>
    <t>COSTA</t>
  </si>
  <si>
    <t>10769647@mackenzista.com.br</t>
  </si>
  <si>
    <t>JOAO</t>
  </si>
  <si>
    <t>CRUZ</t>
  </si>
  <si>
    <t>10774204@mackenzista.com.br</t>
  </si>
  <si>
    <t>FELIPE</t>
  </si>
  <si>
    <t>FRAIZ</t>
  </si>
  <si>
    <t>10770145@mackenzista.com.br</t>
  </si>
  <si>
    <t>LARISSA</t>
  </si>
  <si>
    <t>ISHI</t>
  </si>
  <si>
    <t>10774085@mackenzista.com.br</t>
  </si>
  <si>
    <t>PRISCILA</t>
  </si>
  <si>
    <t>JARDIM</t>
  </si>
  <si>
    <t>10398961@mackenzista.com.br</t>
  </si>
  <si>
    <t>LUCAS</t>
  </si>
  <si>
    <t>JORGE</t>
  </si>
  <si>
    <t>10769706@mackenzista.com.br</t>
  </si>
  <si>
    <t>GABRIEL</t>
  </si>
  <si>
    <t>LIMA</t>
  </si>
  <si>
    <t>10769923@mackenzista.com.br</t>
  </si>
  <si>
    <t>MONTEIRO</t>
  </si>
  <si>
    <t>10727509@mackenzista.com.br</t>
  </si>
  <si>
    <t>OLIVEIRA</t>
  </si>
  <si>
    <t>10769540@mackenzista.com.br</t>
  </si>
  <si>
    <t>VINICIUS</t>
  </si>
  <si>
    <t>10780449@mackenzista.com.br</t>
  </si>
  <si>
    <t>ORLANDO</t>
  </si>
  <si>
    <t>10756149@mackenzista.com.br</t>
  </si>
  <si>
    <t>LEONARDO</t>
  </si>
  <si>
    <t>PACE</t>
  </si>
  <si>
    <t>10769573@mackenzista.com.br</t>
  </si>
  <si>
    <t>ERIC</t>
  </si>
  <si>
    <t>PFEUTI</t>
  </si>
  <si>
    <t>10774195@mackenzista.com.br</t>
  </si>
  <si>
    <t>QUEIROZ</t>
  </si>
  <si>
    <t>10774178@mackenzista.com.br</t>
  </si>
  <si>
    <t>ROBERTO</t>
  </si>
  <si>
    <t>10770177@mackenzista.com.br</t>
  </si>
  <si>
    <t>RAFAEL</t>
  </si>
  <si>
    <t>RODRIGUES</t>
  </si>
  <si>
    <t>10331586@mackenzista.com.br</t>
  </si>
  <si>
    <t>SALLES</t>
  </si>
  <si>
    <t>10770029@mackenzista.com.br</t>
  </si>
  <si>
    <t>MARIA</t>
  </si>
  <si>
    <t>SALVINO</t>
  </si>
  <si>
    <t>10770041@mackenzista.com.br</t>
  </si>
  <si>
    <t>SILVA</t>
  </si>
  <si>
    <t>10753381@mackenzista.com.br</t>
  </si>
  <si>
    <t>10772805@mackenzista.com.br</t>
  </si>
  <si>
    <t>Ex1.1</t>
  </si>
  <si>
    <t>Ex1.2</t>
  </si>
  <si>
    <t>Ex1.3</t>
  </si>
  <si>
    <t>Ex1.4</t>
  </si>
  <si>
    <t>Ex1.5</t>
  </si>
  <si>
    <t>Ex1</t>
  </si>
  <si>
    <t>Pontuação</t>
  </si>
  <si>
    <t>Nome (Completo)</t>
  </si>
  <si>
    <t>Eric Pfeuti</t>
  </si>
  <si>
    <t>Priscila Torres de Moraes Jardim</t>
  </si>
  <si>
    <t>Maria Eduarda Cardoso Salvino</t>
  </si>
  <si>
    <t>FELIPE CALHEIROS SALLES</t>
  </si>
  <si>
    <t>Rafael Campos Rodrigues</t>
  </si>
  <si>
    <t>Vinicius Luiz Tassitano Queiroz</t>
  </si>
  <si>
    <t>Leonardo Ratto Pace</t>
  </si>
  <si>
    <t>Vinicius Lopes Correia de Oliveira</t>
  </si>
  <si>
    <t>Gabriel Costa Lima</t>
  </si>
  <si>
    <t>Larissa Miho Ishi</t>
  </si>
  <si>
    <t>Matheus Otsuka Trovo de Carvalho</t>
  </si>
  <si>
    <t>Lucas Jorge</t>
  </si>
  <si>
    <t>Marco Lancia Capellano</t>
  </si>
  <si>
    <t>Carlos Alberto Assunção Angulo</t>
  </si>
  <si>
    <t>Vinícius Ribeiro Teixeira Silva</t>
  </si>
  <si>
    <t>Lorenzo Reis Costa</t>
  </si>
  <si>
    <t>Gabriel Oliveira da Silva</t>
  </si>
  <si>
    <t>João Vitor Moreira da Cruz</t>
  </si>
  <si>
    <t>Milena Reketis Barioto</t>
  </si>
  <si>
    <t>João Vitor Teixeira Orlando</t>
  </si>
  <si>
    <t>Felipe Fraiz</t>
  </si>
  <si>
    <t>Gabriel Archangelo Fratelli Roberto</t>
  </si>
  <si>
    <t>Felipe Calheiros Salles</t>
  </si>
  <si>
    <t>João Monteiro</t>
  </si>
  <si>
    <t>Felipe Oliveira</t>
  </si>
  <si>
    <t>Nome Completo</t>
  </si>
  <si>
    <t>Ex2</t>
  </si>
  <si>
    <t>Lab</t>
  </si>
  <si>
    <t>Francisco Wei Leone Oliveira</t>
  </si>
  <si>
    <t>Caio Ferradas Forato</t>
  </si>
  <si>
    <t>Murilo Silva Garcia</t>
  </si>
  <si>
    <t>RA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</si>
  <si>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</si>
  <si>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</si>
  <si>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</si>
  <si>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</si>
  <si>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</si>
  <si>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</si>
  <si>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</si>
  <si>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</si>
  <si>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</si>
  <si>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</si>
  <si>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</si>
  <si>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Coluna 1</t>
  </si>
  <si>
    <t>10769971@mackenzista.com.br</t>
  </si>
  <si>
    <t>10769837@mackenzista.com.br</t>
  </si>
  <si>
    <t>10769796@mackenzista.com.br</t>
  </si>
  <si>
    <t>Acertos</t>
  </si>
  <si>
    <t>Ex2pre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</si>
</sst>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"/>
    <numFmt numFmtId="165" formatCode="0.0"/>
  </numFmts>
  <fonts count="7" x14ac:knownFonts="1">
    <font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2" fillId="0" borderId="0" xfId="2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" fontId="0" fillId="0" borderId="0" xfId="0" applyNumberFormat="1"/>
    <xf numFmtId="0" fontId="3" fillId="0" borderId="0" xfId="0" applyFont="1"/>
    <xf numFmtId="49" fontId="4" fillId="0" borderId="0" xfId="0" applyNumberFormat="1" applyFont="1"/>
    <xf numFmtId="0" fontId="3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center"/>
    </xf>
    <xf numFmtId="0" fontId="6" fillId="0" borderId="0" xfId="1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331586@mackenzista.com.br" TargetMode="External"/><Relationship Id="rId2" Type="http://schemas.openxmlformats.org/officeDocument/2006/relationships/hyperlink" Target="mailto:10770095@mackenzista.com.br" TargetMode="External"/><Relationship Id="rId1" Type="http://schemas.openxmlformats.org/officeDocument/2006/relationships/hyperlink" Target="mailto:10769647@mackenzist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A27" sqref="A27:M30"/>
    </sheetView>
  </sheetViews>
  <sheetFormatPr defaultRowHeight="15" x14ac:dyDescent="0.25"/>
  <cols>
    <col min="3" max="3" width="32.85546875" bestFit="1" customWidth="1"/>
    <col min="4" max="8" width="10.140625" style="16" bestFit="1" customWidth="1"/>
    <col min="9" max="9" width="8.5703125" style="10" bestFit="1" customWidth="1"/>
    <col min="10" max="10" width="8.5703125" style="10" hidden="1" customWidth="1"/>
    <col min="11" max="11" width="8.5703125" style="10" customWidth="1"/>
    <col min="12" max="12" width="8.5703125" style="4" customWidth="1"/>
    <col min="13" max="13" width="29" bestFit="1" customWidth="1"/>
  </cols>
  <sheetData>
    <row r="1" spans="1:13" x14ac:dyDescent="0.25">
      <c r="A1" s="7" t="s">
        <v>0</v>
      </c>
      <c r="B1" s="7" t="s">
        <v>1</v>
      </c>
      <c r="C1" s="7" t="s">
        <v>98</v>
      </c>
      <c r="D1" s="13" t="s">
        <v>65</v>
      </c>
      <c r="E1" s="13" t="s">
        <v>66</v>
      </c>
      <c r="F1" s="13" t="s">
        <v>67</v>
      </c>
      <c r="G1" s="13" t="s">
        <v>68</v>
      </c>
      <c r="H1" s="13" t="s">
        <v>69</v>
      </c>
      <c r="I1" s="9" t="s">
        <v>70</v>
      </c>
      <c r="J1" s="9" t="s">
        <v>121</v>
      </c>
      <c r="K1" s="9" t="s">
        <v>99</v>
      </c>
      <c r="L1" s="11" t="s">
        <v>100</v>
      </c>
      <c r="M1" s="7" t="s">
        <v>2</v>
      </c>
    </row>
    <row r="2" spans="1:13" x14ac:dyDescent="0.25">
      <c r="A2" s="1" t="s">
        <v>3</v>
      </c>
      <c r="B2" s="1" t="s">
        <v>4</v>
      </c>
      <c r="C2" t="s">
        <v>86</v>
      </c>
      <c r="D2" s="14"/>
      <c r="E2" s="14"/>
      <c r="F2" s="14"/>
      <c r="G2" s="14"/>
      <c r="H2" s="14"/>
      <c r="I2" s="10">
        <f>SUM(D2:H2)*2</f>
        <v>0</v>
      </c>
      <c r="J2" s="10">
        <v>2.5</v>
      </c>
      <c r="K2" s="10">
        <f>_xlfn.CEILING.MATH(J2,0.5)</f>
        <v>2.5</v>
      </c>
      <c r="L2" s="12">
        <f>_xlfn.CEILING.MATH((I2+K2)/2,0.5)</f>
        <v>1.5</v>
      </c>
      <c r="M2" s="1" t="s">
        <v>5</v>
      </c>
    </row>
    <row r="3" spans="1:13" x14ac:dyDescent="0.25">
      <c r="A3" s="1" t="s">
        <v>47</v>
      </c>
      <c r="B3" s="1" t="s">
        <v>48</v>
      </c>
      <c r="C3" t="s">
        <v>73</v>
      </c>
      <c r="D3" s="15">
        <v>1</v>
      </c>
      <c r="E3" s="15">
        <v>1</v>
      </c>
      <c r="F3" s="15">
        <v>0</v>
      </c>
      <c r="G3" s="15">
        <v>1</v>
      </c>
      <c r="H3" s="15">
        <v>1</v>
      </c>
      <c r="I3" s="10">
        <f t="shared" ref="I3:I25" si="0">SUM(D3:H3)*2</f>
        <v>8</v>
      </c>
      <c r="J3" s="10">
        <v>5</v>
      </c>
      <c r="K3" s="10">
        <f t="shared" ref="K3:K25" si="1">_xlfn.CEILING.MATH(J3,0.5)</f>
        <v>5</v>
      </c>
      <c r="L3" s="12">
        <f t="shared" ref="L3:L25" si="2">_xlfn.CEILING.MATH((I3+K3)/2,0.5)</f>
        <v>6.5</v>
      </c>
      <c r="M3" s="1" t="s">
        <v>49</v>
      </c>
    </row>
    <row r="4" spans="1:13" x14ac:dyDescent="0.25">
      <c r="A4" s="1" t="s">
        <v>21</v>
      </c>
      <c r="B4" s="1" t="s">
        <v>22</v>
      </c>
      <c r="C4" t="s">
        <v>93</v>
      </c>
      <c r="D4" s="15">
        <v>0.5</v>
      </c>
      <c r="E4" s="15">
        <v>0</v>
      </c>
      <c r="F4" s="15">
        <v>0</v>
      </c>
      <c r="G4" s="15">
        <v>0</v>
      </c>
      <c r="H4" s="15">
        <v>0</v>
      </c>
      <c r="I4" s="10">
        <f t="shared" si="0"/>
        <v>1</v>
      </c>
      <c r="J4" s="10">
        <v>5</v>
      </c>
      <c r="K4" s="10">
        <f t="shared" si="1"/>
        <v>5</v>
      </c>
      <c r="L4" s="12">
        <f t="shared" si="2"/>
        <v>3</v>
      </c>
      <c r="M4" s="1" t="s">
        <v>23</v>
      </c>
    </row>
    <row r="5" spans="1:13" x14ac:dyDescent="0.25">
      <c r="A5" s="1" t="s">
        <v>21</v>
      </c>
      <c r="B5" s="1" t="s">
        <v>38</v>
      </c>
      <c r="C5" s="6" t="s">
        <v>97</v>
      </c>
      <c r="D5" s="15">
        <v>1</v>
      </c>
      <c r="E5" s="15">
        <v>1</v>
      </c>
      <c r="F5" s="15">
        <v>0</v>
      </c>
      <c r="G5" s="15">
        <v>1</v>
      </c>
      <c r="H5" s="15">
        <v>1</v>
      </c>
      <c r="I5" s="10">
        <f t="shared" si="0"/>
        <v>8</v>
      </c>
      <c r="J5" s="10">
        <v>0</v>
      </c>
      <c r="K5" s="10">
        <f t="shared" si="1"/>
        <v>0</v>
      </c>
      <c r="L5" s="12">
        <f t="shared" si="2"/>
        <v>4</v>
      </c>
      <c r="M5" s="1" t="s">
        <v>39</v>
      </c>
    </row>
    <row r="6" spans="1:13" x14ac:dyDescent="0.25">
      <c r="A6" s="1" t="s">
        <v>21</v>
      </c>
      <c r="B6" s="1" t="s">
        <v>57</v>
      </c>
      <c r="C6" s="6" t="s">
        <v>95</v>
      </c>
      <c r="D6" s="15">
        <v>1</v>
      </c>
      <c r="E6" s="15">
        <v>1</v>
      </c>
      <c r="F6" s="15">
        <v>0</v>
      </c>
      <c r="G6" s="15">
        <v>1</v>
      </c>
      <c r="H6" s="15">
        <v>1</v>
      </c>
      <c r="I6" s="10">
        <f t="shared" si="0"/>
        <v>8</v>
      </c>
      <c r="J6" s="10">
        <v>8.3333333333333339</v>
      </c>
      <c r="K6" s="10">
        <f t="shared" si="1"/>
        <v>8.5</v>
      </c>
      <c r="L6" s="12">
        <f t="shared" si="2"/>
        <v>8.5</v>
      </c>
      <c r="M6" s="1" t="s">
        <v>58</v>
      </c>
    </row>
    <row r="7" spans="1:13" x14ac:dyDescent="0.25">
      <c r="A7" s="1" t="s">
        <v>33</v>
      </c>
      <c r="B7" s="1" t="s">
        <v>34</v>
      </c>
      <c r="C7" t="s">
        <v>81</v>
      </c>
      <c r="D7" s="15">
        <v>0.5</v>
      </c>
      <c r="E7" s="15">
        <v>0</v>
      </c>
      <c r="F7" s="15">
        <v>0</v>
      </c>
      <c r="G7" s="15">
        <v>0</v>
      </c>
      <c r="H7" s="15">
        <v>0</v>
      </c>
      <c r="I7" s="10">
        <f t="shared" si="0"/>
        <v>1</v>
      </c>
      <c r="J7" s="10">
        <v>2.5</v>
      </c>
      <c r="K7" s="10">
        <f t="shared" si="1"/>
        <v>2.5</v>
      </c>
      <c r="L7" s="12">
        <f t="shared" si="2"/>
        <v>2</v>
      </c>
      <c r="M7" s="1" t="s">
        <v>35</v>
      </c>
    </row>
    <row r="8" spans="1:13" x14ac:dyDescent="0.25">
      <c r="A8" s="1" t="s">
        <v>33</v>
      </c>
      <c r="B8" s="1" t="s">
        <v>52</v>
      </c>
      <c r="C8" t="s">
        <v>94</v>
      </c>
      <c r="D8" s="14"/>
      <c r="E8" s="14"/>
      <c r="F8" s="14"/>
      <c r="G8" s="14"/>
      <c r="H8" s="14"/>
      <c r="I8" s="10">
        <f t="shared" si="0"/>
        <v>0</v>
      </c>
      <c r="J8" s="10">
        <v>7.5</v>
      </c>
      <c r="K8" s="10">
        <f t="shared" si="1"/>
        <v>7.5</v>
      </c>
      <c r="L8" s="12">
        <f t="shared" si="2"/>
        <v>4</v>
      </c>
      <c r="M8" s="1" t="s">
        <v>53</v>
      </c>
    </row>
    <row r="9" spans="1:13" x14ac:dyDescent="0.25">
      <c r="A9" s="1" t="s">
        <v>33</v>
      </c>
      <c r="B9" s="1" t="s">
        <v>62</v>
      </c>
      <c r="C9" t="s">
        <v>89</v>
      </c>
      <c r="D9" s="15">
        <v>1</v>
      </c>
      <c r="E9" s="15">
        <v>1</v>
      </c>
      <c r="F9" s="15">
        <v>0.5</v>
      </c>
      <c r="G9" s="15">
        <v>0</v>
      </c>
      <c r="H9" s="15">
        <v>0</v>
      </c>
      <c r="I9" s="10">
        <f t="shared" si="0"/>
        <v>5</v>
      </c>
      <c r="J9" s="10">
        <v>5</v>
      </c>
      <c r="K9" s="10">
        <f t="shared" si="1"/>
        <v>5</v>
      </c>
      <c r="L9" s="12">
        <f t="shared" si="2"/>
        <v>5</v>
      </c>
      <c r="M9" s="1" t="s">
        <v>63</v>
      </c>
    </row>
    <row r="10" spans="1:13" x14ac:dyDescent="0.25">
      <c r="A10" s="1" t="s">
        <v>18</v>
      </c>
      <c r="B10" s="1" t="s">
        <v>19</v>
      </c>
      <c r="C10" t="s">
        <v>90</v>
      </c>
      <c r="D10" s="14"/>
      <c r="E10" s="14"/>
      <c r="F10" s="14"/>
      <c r="G10" s="14"/>
      <c r="H10" s="14"/>
      <c r="I10" s="10">
        <f t="shared" si="0"/>
        <v>0</v>
      </c>
      <c r="J10" s="10">
        <v>2.5</v>
      </c>
      <c r="K10" s="10">
        <f t="shared" si="1"/>
        <v>2.5</v>
      </c>
      <c r="L10" s="12">
        <f t="shared" si="2"/>
        <v>1.5</v>
      </c>
      <c r="M10" s="1" t="s">
        <v>20</v>
      </c>
    </row>
    <row r="11" spans="1:13" x14ac:dyDescent="0.25">
      <c r="A11" s="1" t="s">
        <v>18</v>
      </c>
      <c r="B11" s="1" t="s">
        <v>36</v>
      </c>
      <c r="C11" s="6" t="s">
        <v>96</v>
      </c>
      <c r="D11" s="14"/>
      <c r="E11" s="14"/>
      <c r="F11" s="14"/>
      <c r="G11" s="14"/>
      <c r="H11" s="14"/>
      <c r="I11" s="10">
        <f t="shared" si="0"/>
        <v>0</v>
      </c>
      <c r="J11" s="10">
        <v>0</v>
      </c>
      <c r="K11" s="10">
        <f t="shared" si="1"/>
        <v>0</v>
      </c>
      <c r="L11" s="12">
        <f t="shared" si="2"/>
        <v>0</v>
      </c>
      <c r="M11" s="1" t="s">
        <v>37</v>
      </c>
    </row>
    <row r="12" spans="1:13" x14ac:dyDescent="0.25">
      <c r="A12" s="1" t="s">
        <v>18</v>
      </c>
      <c r="B12" s="1" t="s">
        <v>42</v>
      </c>
      <c r="C12" t="s">
        <v>92</v>
      </c>
      <c r="D12" s="15">
        <v>1</v>
      </c>
      <c r="E12" s="15">
        <v>1</v>
      </c>
      <c r="F12" s="15">
        <v>0</v>
      </c>
      <c r="G12" s="15">
        <v>1</v>
      </c>
      <c r="H12" s="15">
        <v>1</v>
      </c>
      <c r="I12" s="10">
        <f t="shared" si="0"/>
        <v>8</v>
      </c>
      <c r="J12" s="10">
        <v>7.5</v>
      </c>
      <c r="K12" s="10">
        <f t="shared" si="1"/>
        <v>7.5</v>
      </c>
      <c r="L12" s="12">
        <f t="shared" si="2"/>
        <v>8</v>
      </c>
      <c r="M12" s="1" t="s">
        <v>43</v>
      </c>
    </row>
    <row r="13" spans="1:13" x14ac:dyDescent="0.25">
      <c r="A13" s="1" t="s">
        <v>24</v>
      </c>
      <c r="B13" s="1" t="s">
        <v>25</v>
      </c>
      <c r="C13" t="s">
        <v>82</v>
      </c>
      <c r="D13" s="15">
        <v>1</v>
      </c>
      <c r="E13" s="15">
        <v>1</v>
      </c>
      <c r="F13" s="15">
        <v>1</v>
      </c>
      <c r="G13" s="15">
        <v>1</v>
      </c>
      <c r="H13" s="15">
        <v>1</v>
      </c>
      <c r="I13" s="10">
        <f t="shared" si="0"/>
        <v>10</v>
      </c>
      <c r="J13" s="10">
        <v>4.166666666666667</v>
      </c>
      <c r="K13" s="10">
        <f t="shared" si="1"/>
        <v>4.5</v>
      </c>
      <c r="L13" s="12">
        <f t="shared" si="2"/>
        <v>7.5</v>
      </c>
      <c r="M13" s="1" t="s">
        <v>26</v>
      </c>
    </row>
    <row r="14" spans="1:13" x14ac:dyDescent="0.25">
      <c r="A14" s="1" t="s">
        <v>44</v>
      </c>
      <c r="B14" s="1" t="s">
        <v>45</v>
      </c>
      <c r="C14" t="s">
        <v>79</v>
      </c>
      <c r="D14" s="15">
        <v>1</v>
      </c>
      <c r="E14" s="15">
        <v>0.75</v>
      </c>
      <c r="F14" s="15">
        <v>0</v>
      </c>
      <c r="G14" s="15">
        <v>1</v>
      </c>
      <c r="H14" s="15">
        <v>1</v>
      </c>
      <c r="I14" s="10">
        <f t="shared" si="0"/>
        <v>7.5</v>
      </c>
      <c r="J14" s="10">
        <v>2.5</v>
      </c>
      <c r="K14" s="10">
        <f t="shared" si="1"/>
        <v>2.5</v>
      </c>
      <c r="L14" s="12">
        <f t="shared" si="2"/>
        <v>5</v>
      </c>
      <c r="M14" s="1" t="s">
        <v>46</v>
      </c>
    </row>
    <row r="15" spans="1:13" x14ac:dyDescent="0.25">
      <c r="A15" s="1" t="s">
        <v>15</v>
      </c>
      <c r="B15" s="1" t="s">
        <v>16</v>
      </c>
      <c r="C15" t="s">
        <v>88</v>
      </c>
      <c r="D15" s="15">
        <v>0.5</v>
      </c>
      <c r="E15" s="15">
        <v>0</v>
      </c>
      <c r="F15" s="15">
        <v>0</v>
      </c>
      <c r="G15" s="15">
        <v>0</v>
      </c>
      <c r="H15" s="15">
        <v>0</v>
      </c>
      <c r="I15" s="10">
        <f t="shared" si="0"/>
        <v>1</v>
      </c>
      <c r="J15" s="10">
        <v>5</v>
      </c>
      <c r="K15" s="10">
        <f t="shared" si="1"/>
        <v>5</v>
      </c>
      <c r="L15" s="12">
        <f t="shared" si="2"/>
        <v>3</v>
      </c>
      <c r="M15" s="2" t="s">
        <v>17</v>
      </c>
    </row>
    <row r="16" spans="1:13" x14ac:dyDescent="0.25">
      <c r="A16" s="1" t="s">
        <v>30</v>
      </c>
      <c r="B16" s="1" t="s">
        <v>31</v>
      </c>
      <c r="C16" t="s">
        <v>84</v>
      </c>
      <c r="D16" s="15">
        <v>1</v>
      </c>
      <c r="E16" s="15">
        <v>1</v>
      </c>
      <c r="F16" s="15">
        <v>0.5</v>
      </c>
      <c r="G16" s="15">
        <v>1</v>
      </c>
      <c r="H16" s="15">
        <v>1</v>
      </c>
      <c r="I16" s="10">
        <f t="shared" si="0"/>
        <v>9</v>
      </c>
      <c r="J16" s="10">
        <v>8.3333333333333339</v>
      </c>
      <c r="K16" s="10">
        <f t="shared" si="1"/>
        <v>8.5</v>
      </c>
      <c r="L16" s="12">
        <f t="shared" si="2"/>
        <v>9</v>
      </c>
      <c r="M16" s="1" t="s">
        <v>32</v>
      </c>
    </row>
    <row r="17" spans="1:13" x14ac:dyDescent="0.25">
      <c r="A17" s="1" t="s">
        <v>9</v>
      </c>
      <c r="B17" s="1" t="s">
        <v>10</v>
      </c>
      <c r="C17" t="s">
        <v>85</v>
      </c>
      <c r="D17" s="15">
        <v>0.5</v>
      </c>
      <c r="E17" s="15">
        <v>0</v>
      </c>
      <c r="F17" s="15">
        <v>0</v>
      </c>
      <c r="G17" s="15">
        <v>1</v>
      </c>
      <c r="H17" s="15">
        <v>0</v>
      </c>
      <c r="I17" s="10">
        <f t="shared" si="0"/>
        <v>3</v>
      </c>
      <c r="J17" s="10">
        <v>0</v>
      </c>
      <c r="K17" s="10">
        <f t="shared" si="1"/>
        <v>0</v>
      </c>
      <c r="L17" s="12">
        <f t="shared" si="2"/>
        <v>1.5</v>
      </c>
      <c r="M17" s="2" t="s">
        <v>11</v>
      </c>
    </row>
    <row r="18" spans="1:13" x14ac:dyDescent="0.25">
      <c r="A18" s="1" t="s">
        <v>59</v>
      </c>
      <c r="B18" s="1" t="s">
        <v>60</v>
      </c>
      <c r="C18" t="s">
        <v>75</v>
      </c>
      <c r="D18" s="15">
        <v>1</v>
      </c>
      <c r="E18" s="15">
        <v>0</v>
      </c>
      <c r="F18" s="15">
        <v>0.5</v>
      </c>
      <c r="G18" s="15">
        <v>1</v>
      </c>
      <c r="H18" s="15">
        <v>1</v>
      </c>
      <c r="I18" s="10">
        <f t="shared" si="0"/>
        <v>7</v>
      </c>
      <c r="J18" s="10">
        <v>8.3333333333333339</v>
      </c>
      <c r="K18" s="10">
        <f t="shared" si="1"/>
        <v>8.5</v>
      </c>
      <c r="L18" s="12">
        <f t="shared" si="2"/>
        <v>8</v>
      </c>
      <c r="M18" s="1" t="s">
        <v>61</v>
      </c>
    </row>
    <row r="19" spans="1:13" x14ac:dyDescent="0.25">
      <c r="A19" s="1" t="s">
        <v>12</v>
      </c>
      <c r="B19" s="1" t="s">
        <v>13</v>
      </c>
      <c r="C19" t="s">
        <v>83</v>
      </c>
      <c r="D19" s="15">
        <v>0.5</v>
      </c>
      <c r="E19" s="15">
        <v>0</v>
      </c>
      <c r="F19" s="15">
        <v>0</v>
      </c>
      <c r="G19" s="15">
        <v>1</v>
      </c>
      <c r="H19" s="15">
        <v>1</v>
      </c>
      <c r="I19" s="10">
        <f t="shared" si="0"/>
        <v>5</v>
      </c>
      <c r="J19" s="10">
        <v>5.8333333333333339</v>
      </c>
      <c r="K19" s="10">
        <f t="shared" si="1"/>
        <v>6</v>
      </c>
      <c r="L19" s="12">
        <f t="shared" si="2"/>
        <v>5.5</v>
      </c>
      <c r="M19" s="1" t="s">
        <v>14</v>
      </c>
    </row>
    <row r="20" spans="1:13" x14ac:dyDescent="0.25">
      <c r="A20" s="1" t="s">
        <v>6</v>
      </c>
      <c r="B20" s="1" t="s">
        <v>7</v>
      </c>
      <c r="C20" t="s">
        <v>91</v>
      </c>
      <c r="D20" s="15">
        <v>1</v>
      </c>
      <c r="E20" s="15">
        <v>0</v>
      </c>
      <c r="F20" s="15">
        <v>0.5</v>
      </c>
      <c r="G20" s="15">
        <v>1</v>
      </c>
      <c r="H20" s="15">
        <v>1</v>
      </c>
      <c r="I20" s="10">
        <f t="shared" si="0"/>
        <v>7</v>
      </c>
      <c r="J20" s="10">
        <v>5</v>
      </c>
      <c r="K20" s="10">
        <f t="shared" si="1"/>
        <v>5</v>
      </c>
      <c r="L20" s="12">
        <f t="shared" si="2"/>
        <v>6</v>
      </c>
      <c r="M20" s="1" t="s">
        <v>8</v>
      </c>
    </row>
    <row r="21" spans="1:13" x14ac:dyDescent="0.25">
      <c r="A21" s="1" t="s">
        <v>27</v>
      </c>
      <c r="B21" s="1" t="s">
        <v>28</v>
      </c>
      <c r="C21" t="s">
        <v>74</v>
      </c>
      <c r="D21" s="15">
        <v>0.5</v>
      </c>
      <c r="E21" s="15">
        <v>0.5</v>
      </c>
      <c r="F21" s="15">
        <v>0.5</v>
      </c>
      <c r="G21" s="15">
        <v>1</v>
      </c>
      <c r="H21" s="15">
        <v>1</v>
      </c>
      <c r="I21" s="10">
        <f t="shared" si="0"/>
        <v>7</v>
      </c>
      <c r="J21" s="10">
        <v>8.3333333333333339</v>
      </c>
      <c r="K21" s="10">
        <f t="shared" si="1"/>
        <v>8.5</v>
      </c>
      <c r="L21" s="12">
        <f t="shared" si="2"/>
        <v>8</v>
      </c>
      <c r="M21" s="1" t="s">
        <v>29</v>
      </c>
    </row>
    <row r="22" spans="1:13" x14ac:dyDescent="0.25">
      <c r="A22" s="1" t="s">
        <v>54</v>
      </c>
      <c r="B22" s="1" t="s">
        <v>55</v>
      </c>
      <c r="C22" t="s">
        <v>77</v>
      </c>
      <c r="D22" s="15">
        <v>1</v>
      </c>
      <c r="E22" s="15">
        <v>0.5</v>
      </c>
      <c r="F22" s="15">
        <v>0</v>
      </c>
      <c r="G22" s="15">
        <v>1</v>
      </c>
      <c r="H22" s="15">
        <v>0</v>
      </c>
      <c r="I22" s="10">
        <f t="shared" si="0"/>
        <v>5</v>
      </c>
      <c r="J22" s="10">
        <v>7.5</v>
      </c>
      <c r="K22" s="10">
        <f t="shared" si="1"/>
        <v>7.5</v>
      </c>
      <c r="L22" s="12">
        <f t="shared" si="2"/>
        <v>6.5</v>
      </c>
      <c r="M22" s="2" t="s">
        <v>56</v>
      </c>
    </row>
    <row r="23" spans="1:13" x14ac:dyDescent="0.25">
      <c r="A23" s="1" t="s">
        <v>40</v>
      </c>
      <c r="B23" s="1" t="s">
        <v>38</v>
      </c>
      <c r="C23" t="s">
        <v>80</v>
      </c>
      <c r="D23" s="15">
        <v>1</v>
      </c>
      <c r="E23" s="15">
        <v>0</v>
      </c>
      <c r="F23" s="15">
        <v>0.5</v>
      </c>
      <c r="G23" s="15">
        <v>0</v>
      </c>
      <c r="H23" s="15">
        <v>0</v>
      </c>
      <c r="I23" s="10">
        <f t="shared" si="0"/>
        <v>3</v>
      </c>
      <c r="J23" s="10">
        <v>1.6666666666666665</v>
      </c>
      <c r="K23" s="10">
        <f t="shared" si="1"/>
        <v>2</v>
      </c>
      <c r="L23" s="12">
        <f t="shared" si="2"/>
        <v>2.5</v>
      </c>
      <c r="M23" s="1" t="s">
        <v>41</v>
      </c>
    </row>
    <row r="24" spans="1:13" x14ac:dyDescent="0.25">
      <c r="A24" s="1" t="s">
        <v>40</v>
      </c>
      <c r="B24" s="1" t="s">
        <v>50</v>
      </c>
      <c r="C24" t="s">
        <v>78</v>
      </c>
      <c r="D24" s="15">
        <v>1</v>
      </c>
      <c r="E24" s="15">
        <v>1</v>
      </c>
      <c r="F24" s="15">
        <v>0.5</v>
      </c>
      <c r="G24" s="15">
        <v>1</v>
      </c>
      <c r="H24" s="15">
        <v>1</v>
      </c>
      <c r="I24" s="10">
        <f t="shared" si="0"/>
        <v>9</v>
      </c>
      <c r="J24" s="10">
        <v>8.3333333333333339</v>
      </c>
      <c r="K24" s="10">
        <f t="shared" si="1"/>
        <v>8.5</v>
      </c>
      <c r="L24" s="12">
        <f t="shared" si="2"/>
        <v>9</v>
      </c>
      <c r="M24" s="1" t="s">
        <v>51</v>
      </c>
    </row>
    <row r="25" spans="1:13" x14ac:dyDescent="0.25">
      <c r="A25" s="1" t="s">
        <v>40</v>
      </c>
      <c r="B25" s="1" t="s">
        <v>62</v>
      </c>
      <c r="C25" t="s">
        <v>87</v>
      </c>
      <c r="D25" s="15">
        <v>1</v>
      </c>
      <c r="E25" s="15">
        <v>1</v>
      </c>
      <c r="F25" s="15">
        <v>0.5</v>
      </c>
      <c r="G25" s="15">
        <v>1</v>
      </c>
      <c r="H25" s="15">
        <v>1</v>
      </c>
      <c r="I25" s="10">
        <f t="shared" si="0"/>
        <v>9</v>
      </c>
      <c r="J25" s="10">
        <v>8.3333333333333339</v>
      </c>
      <c r="K25" s="10">
        <f t="shared" si="1"/>
        <v>8.5</v>
      </c>
      <c r="L25" s="12">
        <f t="shared" si="2"/>
        <v>9</v>
      </c>
      <c r="M25" s="1" t="s">
        <v>64</v>
      </c>
    </row>
    <row r="27" spans="1:13" x14ac:dyDescent="0.25">
      <c r="A27" s="7" t="s">
        <v>0</v>
      </c>
      <c r="B27" s="7" t="s">
        <v>1</v>
      </c>
      <c r="C27" s="7" t="s">
        <v>98</v>
      </c>
      <c r="D27" s="13" t="s">
        <v>65</v>
      </c>
      <c r="E27" s="13" t="s">
        <v>66</v>
      </c>
      <c r="F27" s="13" t="s">
        <v>67</v>
      </c>
      <c r="G27" s="13" t="s">
        <v>68</v>
      </c>
      <c r="H27" s="13" t="s">
        <v>69</v>
      </c>
      <c r="I27" s="9" t="s">
        <v>70</v>
      </c>
      <c r="J27" s="9" t="s">
        <v>99</v>
      </c>
      <c r="K27" s="9" t="s">
        <v>99</v>
      </c>
      <c r="L27" s="11" t="s">
        <v>100</v>
      </c>
      <c r="M27" s="7" t="s">
        <v>2</v>
      </c>
    </row>
    <row r="28" spans="1:13" x14ac:dyDescent="0.25">
      <c r="C28" s="6" t="s">
        <v>102</v>
      </c>
      <c r="I28" s="10">
        <v>0</v>
      </c>
      <c r="J28" s="10">
        <v>4.166666666666667</v>
      </c>
      <c r="K28" s="10">
        <f t="shared" ref="K28:K30" si="3">_xlfn.CEILING.MATH(J28,0.5)</f>
        <v>4.5</v>
      </c>
      <c r="L28" s="12">
        <f t="shared" ref="L28:L30" si="4">_xlfn.CEILING.MATH((I28+K28)/2,0.5)</f>
        <v>2.5</v>
      </c>
      <c r="M28" t="s">
        <v>119</v>
      </c>
    </row>
    <row r="29" spans="1:13" x14ac:dyDescent="0.25">
      <c r="C29" s="6" t="s">
        <v>101</v>
      </c>
      <c r="I29" s="10">
        <v>0</v>
      </c>
      <c r="J29" s="10">
        <v>4.166666666666667</v>
      </c>
      <c r="K29" s="10">
        <f t="shared" si="3"/>
        <v>4.5</v>
      </c>
      <c r="L29" s="12">
        <f t="shared" si="4"/>
        <v>2.5</v>
      </c>
      <c r="M29" t="s">
        <v>118</v>
      </c>
    </row>
    <row r="30" spans="1:13" x14ac:dyDescent="0.25">
      <c r="C30" s="6" t="s">
        <v>103</v>
      </c>
      <c r="I30" s="10">
        <v>0</v>
      </c>
      <c r="J30" s="10">
        <v>1.6666666666666667</v>
      </c>
      <c r="K30" s="10">
        <f t="shared" si="3"/>
        <v>2</v>
      </c>
      <c r="L30" s="12">
        <f t="shared" si="4"/>
        <v>1</v>
      </c>
      <c r="M30" t="s">
        <v>117</v>
      </c>
    </row>
  </sheetData>
  <autoFilter ref="A1:M25" xr:uid="{00000000-0001-0000-0000-000000000000}">
    <sortState xmlns:xlrd2="http://schemas.microsoft.com/office/spreadsheetml/2017/richdata2" ref="A2:M25">
      <sortCondition ref="A1:A25"/>
    </sortState>
  </autoFilter>
  <hyperlinks>
    <hyperlink ref="M15" r:id="rId1" xr:uid="{47607E20-D332-4ED0-90FD-B6EC449F4EED}"/>
    <hyperlink ref="M17" r:id="rId2" xr:uid="{116BAB4F-B405-4AD4-A889-905999672893}"/>
    <hyperlink ref="M22" r:id="rId3" xr:uid="{740AFB90-1BBD-4665-BF80-8D0DB1A6EA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61C5-3E6F-4946-A5F3-4EF8B4220122}">
  <dimension ref="A1:Q4"/>
  <sheetViews>
    <sheetView workbookViewId="0">
      <selection activeCell="A2" sqref="A2"/>
    </sheetView>
  </sheetViews>
  <sheetFormatPr defaultRowHeight="15" x14ac:dyDescent="0.25"/>
  <cols>
    <col min="5" max="17" width="9.140625" style="3"/>
  </cols>
  <sheetData>
    <row r="1" spans="1:17" x14ac:dyDescent="0.25">
      <c r="A1" t="s">
        <v>2</v>
      </c>
      <c r="B1" t="s">
        <v>71</v>
      </c>
      <c r="C1" t="s">
        <v>72</v>
      </c>
      <c r="D1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  <c r="O1" s="3" t="s">
        <v>115</v>
      </c>
      <c r="P1" s="3" t="s">
        <v>116</v>
      </c>
      <c r="Q1" s="8" t="s">
        <v>120</v>
      </c>
    </row>
    <row r="2" spans="1:17" x14ac:dyDescent="0.25">
      <c r="A2" t="s">
        <v>117</v>
      </c>
      <c r="B2" s="5">
        <v>46327</v>
      </c>
      <c r="C2" t="s">
        <v>103</v>
      </c>
      <c r="D2">
        <v>10769971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f>SUM(E2:P2)</f>
        <v>2</v>
      </c>
    </row>
    <row r="3" spans="1:17" x14ac:dyDescent="0.25">
      <c r="A3" t="s">
        <v>118</v>
      </c>
      <c r="B3" s="5">
        <v>46329</v>
      </c>
      <c r="C3" t="s">
        <v>101</v>
      </c>
      <c r="D3">
        <v>10769837</v>
      </c>
      <c r="E3" s="3">
        <v>1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1</v>
      </c>
      <c r="M3" s="3">
        <v>0</v>
      </c>
      <c r="N3" s="3">
        <v>1</v>
      </c>
      <c r="O3" s="3">
        <v>0</v>
      </c>
      <c r="P3" s="3">
        <v>0</v>
      </c>
      <c r="Q3" s="3">
        <f t="shared" ref="Q3:Q4" si="0">SUM(E3:P3)</f>
        <v>5</v>
      </c>
    </row>
    <row r="4" spans="1:17" x14ac:dyDescent="0.25">
      <c r="A4" t="s">
        <v>119</v>
      </c>
      <c r="B4" s="5">
        <v>46328</v>
      </c>
      <c r="C4" t="s">
        <v>102</v>
      </c>
      <c r="D4">
        <v>10769796</v>
      </c>
      <c r="E4" s="3">
        <v>1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1</v>
      </c>
      <c r="M4" s="3">
        <v>1</v>
      </c>
      <c r="N4" s="3">
        <v>0</v>
      </c>
      <c r="O4" s="3">
        <v>0</v>
      </c>
      <c r="P4" s="3">
        <v>0</v>
      </c>
      <c r="Q4" s="3">
        <f t="shared" si="0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12BD-BE9B-4CC1-998E-6F95C6268376}">
  <dimension ref="A1:B23"/>
  <sheetViews>
    <sheetView workbookViewId="0">
      <selection activeCell="A2" sqref="A2:B23"/>
    </sheetView>
  </sheetViews>
  <sheetFormatPr defaultRowHeight="15" x14ac:dyDescent="0.25"/>
  <cols>
    <col min="1" max="1" width="32.85546875" bestFit="1" customWidth="1"/>
  </cols>
  <sheetData>
    <row r="1" spans="1:2" x14ac:dyDescent="0.25">
      <c r="A1" t="s">
        <v>72</v>
      </c>
    </row>
    <row r="2" spans="1:2" x14ac:dyDescent="0.25">
      <c r="A2" t="s">
        <v>86</v>
      </c>
      <c r="B2">
        <v>3</v>
      </c>
    </row>
    <row r="3" spans="1:2" x14ac:dyDescent="0.25">
      <c r="A3" t="s">
        <v>73</v>
      </c>
      <c r="B3">
        <v>6</v>
      </c>
    </row>
    <row r="4" spans="1:2" x14ac:dyDescent="0.25">
      <c r="A4" t="s">
        <v>76</v>
      </c>
      <c r="B4">
        <v>10</v>
      </c>
    </row>
    <row r="5" spans="1:2" x14ac:dyDescent="0.25">
      <c r="A5" t="s">
        <v>93</v>
      </c>
      <c r="B5">
        <v>6</v>
      </c>
    </row>
    <row r="6" spans="1:2" x14ac:dyDescent="0.25">
      <c r="A6" t="s">
        <v>94</v>
      </c>
      <c r="B6">
        <v>9</v>
      </c>
    </row>
    <row r="7" spans="1:2" x14ac:dyDescent="0.25">
      <c r="A7" t="s">
        <v>81</v>
      </c>
      <c r="B7">
        <v>3</v>
      </c>
    </row>
    <row r="8" spans="1:2" x14ac:dyDescent="0.25">
      <c r="A8" t="s">
        <v>89</v>
      </c>
      <c r="B8">
        <v>6</v>
      </c>
    </row>
    <row r="9" spans="1:2" x14ac:dyDescent="0.25">
      <c r="A9" t="s">
        <v>90</v>
      </c>
      <c r="B9">
        <v>3</v>
      </c>
    </row>
    <row r="10" spans="1:2" x14ac:dyDescent="0.25">
      <c r="A10" t="s">
        <v>92</v>
      </c>
      <c r="B10">
        <v>9</v>
      </c>
    </row>
    <row r="11" spans="1:2" x14ac:dyDescent="0.25">
      <c r="A11" t="s">
        <v>82</v>
      </c>
      <c r="B11">
        <v>5</v>
      </c>
    </row>
    <row r="12" spans="1:2" x14ac:dyDescent="0.25">
      <c r="A12" t="s">
        <v>79</v>
      </c>
      <c r="B12">
        <v>3</v>
      </c>
    </row>
    <row r="13" spans="1:2" x14ac:dyDescent="0.25">
      <c r="A13" t="s">
        <v>88</v>
      </c>
      <c r="B13">
        <v>6</v>
      </c>
    </row>
    <row r="14" spans="1:2" x14ac:dyDescent="0.25">
      <c r="A14" t="s">
        <v>84</v>
      </c>
      <c r="B14">
        <v>10</v>
      </c>
    </row>
    <row r="15" spans="1:2" x14ac:dyDescent="0.25">
      <c r="A15" t="s">
        <v>85</v>
      </c>
      <c r="B15">
        <v>0</v>
      </c>
    </row>
    <row r="16" spans="1:2" x14ac:dyDescent="0.25">
      <c r="A16" t="s">
        <v>75</v>
      </c>
      <c r="B16">
        <v>10</v>
      </c>
    </row>
    <row r="17" spans="1:2" x14ac:dyDescent="0.25">
      <c r="A17" t="s">
        <v>83</v>
      </c>
      <c r="B17">
        <v>7</v>
      </c>
    </row>
    <row r="18" spans="1:2" x14ac:dyDescent="0.25">
      <c r="A18" t="s">
        <v>91</v>
      </c>
      <c r="B18">
        <v>6</v>
      </c>
    </row>
    <row r="19" spans="1:2" x14ac:dyDescent="0.25">
      <c r="A19" t="s">
        <v>74</v>
      </c>
      <c r="B19">
        <v>10</v>
      </c>
    </row>
    <row r="20" spans="1:2" x14ac:dyDescent="0.25">
      <c r="A20" t="s">
        <v>77</v>
      </c>
      <c r="B20">
        <v>9</v>
      </c>
    </row>
    <row r="21" spans="1:2" x14ac:dyDescent="0.25">
      <c r="A21" t="s">
        <v>80</v>
      </c>
      <c r="B21">
        <v>2</v>
      </c>
    </row>
    <row r="22" spans="1:2" x14ac:dyDescent="0.25">
      <c r="A22" t="s">
        <v>78</v>
      </c>
      <c r="B22">
        <v>10</v>
      </c>
    </row>
    <row r="23" spans="1:2" x14ac:dyDescent="0.25">
      <c r="A23" t="s">
        <v>87</v>
      </c>
      <c r="B23">
        <v>10</v>
      </c>
    </row>
  </sheetData>
  <autoFilter ref="A1:B123" xr:uid="{76F112BD-BE9B-4CC1-998E-6F95C6268376}">
    <sortState xmlns:xlrd2="http://schemas.microsoft.com/office/spreadsheetml/2017/richdata2" ref="A2:B123">
      <sortCondition ref="A1:A1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Notas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ROGERIO DE OLIVEIRA</cp:lastModifiedBy>
  <dcterms:created xsi:type="dcterms:W3CDTF">2026-10-02T13:47:06Z</dcterms:created>
  <dcterms:modified xsi:type="dcterms:W3CDTF">2026-10-02T15:53:02Z</dcterms:modified>
  <cp:category/>
</cp:coreProperties>
</file>